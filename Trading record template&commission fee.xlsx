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64980E4C-DAD3-4E22-8B2C-B338C97FCFA8}" xr6:coauthVersionLast="47" xr6:coauthVersionMax="47" xr10:uidLastSave="{00000000-0000-0000-0000-000000000000}"/>
  <bookViews>
    <workbookView xWindow="-110" yWindow="-110" windowWidth="19420" windowHeight="10300" xr2:uid="{00000000-000D-0000-FFFF-FFFF00000000}"/>
  </bookViews>
  <sheets>
    <sheet name="recor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 i="1" l="1"/>
  <c r="K21" i="1"/>
  <c r="K20" i="1"/>
  <c r="K19" i="1"/>
  <c r="K18" i="1"/>
  <c r="K17" i="1"/>
  <c r="K16" i="1"/>
  <c r="K15" i="1"/>
  <c r="K14" i="1"/>
  <c r="K13" i="1"/>
  <c r="K12" i="1"/>
  <c r="K11" i="1"/>
  <c r="K10" i="1"/>
  <c r="K9" i="1"/>
  <c r="K8" i="1"/>
  <c r="K7" i="1"/>
  <c r="K6" i="1"/>
  <c r="K4" i="1"/>
  <c r="N5" i="1"/>
  <c r="O5" i="1" s="1"/>
  <c r="H5" i="1"/>
  <c r="I5" i="1" l="1"/>
  <c r="P5" i="1" s="1"/>
  <c r="K22" i="1"/>
  <c r="N4" i="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H4" i="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l="1"/>
  <c r="I4" i="1"/>
  <c r="N22" i="1"/>
  <c r="O4" i="1"/>
  <c r="O22" i="1" s="1"/>
  <c r="I22" i="1" l="1"/>
  <c r="P4" i="1"/>
  <c r="P22" i="1" s="1"/>
  <c r="U4" i="1" l="1"/>
  <c r="U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 authorId="0" shapeId="0" xr:uid="{00000000-0006-0000-0000-000001000000}">
      <text>
        <r>
          <rPr>
            <b/>
            <sz val="9"/>
            <color indexed="81"/>
            <rFont val="ＭＳ Ｐゴシック"/>
            <family val="3"/>
            <charset val="128"/>
          </rPr>
          <t>When an entry is closed, input "Closed"</t>
        </r>
      </text>
    </comment>
    <comment ref="R5" authorId="0" shapeId="0" xr:uid="{00000000-0006-0000-0000-000002000000}">
      <text>
        <r>
          <rPr>
            <sz val="9"/>
            <color indexed="81"/>
            <rFont val="ＭＳ Ｐゴシック"/>
            <family val="3"/>
            <charset val="128"/>
          </rPr>
          <t>-Ancoring bias (Nikkei average recorded 2017-highest and came very close to 20,000 on 10 May→Investors feel it may be the right time to sell)
-Tendency to realize profit before the weekend (Nikkei average and Japanese Yen have depreciated for the past weeks and Nillei average came close to 20,000. Under this situation, investors may want to realize profit from long-positions before the weekend. Expecting JPY will appreciate due to profit realization, which negatively affects exporting companies like Toyota, stocks of Toyota were purchased on 11th May and bought back on 12th May.</t>
        </r>
      </text>
    </comment>
  </commentList>
</comments>
</file>

<file path=xl/sharedStrings.xml><?xml version="1.0" encoding="utf-8"?>
<sst xmlns="http://schemas.openxmlformats.org/spreadsheetml/2006/main" count="46" uniqueCount="45">
  <si>
    <t>Stock name</t>
    <phoneticPr fontId="2"/>
  </si>
  <si>
    <t>Entry date</t>
    <phoneticPr fontId="2"/>
  </si>
  <si>
    <t>Direction</t>
    <phoneticPr fontId="2"/>
  </si>
  <si>
    <t>Entry price</t>
    <phoneticPr fontId="2"/>
  </si>
  <si>
    <t>Stock code</t>
    <phoneticPr fontId="2"/>
  </si>
  <si>
    <t>Exit price</t>
    <phoneticPr fontId="2"/>
  </si>
  <si>
    <t>Profit / Loss</t>
    <phoneticPr fontId="2"/>
  </si>
  <si>
    <t>Reason for transaction</t>
    <phoneticPr fontId="2"/>
  </si>
  <si>
    <r>
      <t xml:space="preserve">Commission fee (Rakuten security </t>
    </r>
    <r>
      <rPr>
        <sz val="11"/>
        <color theme="1"/>
        <rFont val="ＭＳ Ｐゴシック"/>
        <family val="3"/>
        <charset val="128"/>
      </rPr>
      <t>超割コース</t>
    </r>
    <r>
      <rPr>
        <sz val="11"/>
        <color theme="1"/>
        <rFont val="Arial"/>
        <family val="2"/>
      </rPr>
      <t>, after tax)</t>
    </r>
    <phoneticPr fontId="2"/>
  </si>
  <si>
    <t xml:space="preserve">Trade amount (up to) </t>
    <phoneticPr fontId="2"/>
  </si>
  <si>
    <t>Toyota Motor Corp</t>
  </si>
  <si>
    <t>Entry unit</t>
    <phoneticPr fontId="2"/>
  </si>
  <si>
    <t>TTL</t>
    <phoneticPr fontId="2"/>
  </si>
  <si>
    <t>Trading record (Group 5)</t>
    <phoneticPr fontId="2"/>
  </si>
  <si>
    <t>JPY</t>
    <phoneticPr fontId="2"/>
  </si>
  <si>
    <t>No.</t>
    <phoneticPr fontId="2"/>
  </si>
  <si>
    <t>Entry value</t>
    <phoneticPr fontId="2"/>
  </si>
  <si>
    <t>Exit value</t>
    <phoneticPr fontId="2"/>
  </si>
  <si>
    <t>Commission for entry</t>
    <phoneticPr fontId="2"/>
  </si>
  <si>
    <t>Commission for exit</t>
    <phoneticPr fontId="2"/>
  </si>
  <si>
    <t>Exit date</t>
    <phoneticPr fontId="2"/>
  </si>
  <si>
    <t>(Note) Input information in the green-colored cells</t>
    <phoneticPr fontId="2"/>
  </si>
  <si>
    <t>Buy</t>
  </si>
  <si>
    <t>Mitsubishi Tanabe Pharma Corporation</t>
  </si>
  <si>
    <t>Remaining cash amount</t>
    <phoneticPr fontId="2"/>
  </si>
  <si>
    <t>Original cash amount</t>
    <phoneticPr fontId="2"/>
  </si>
  <si>
    <t>Status</t>
    <phoneticPr fontId="2"/>
  </si>
  <si>
    <t>Closed</t>
  </si>
  <si>
    <t>Sell</t>
    <phoneticPr fontId="2"/>
  </si>
  <si>
    <t>Market value</t>
    <phoneticPr fontId="2"/>
  </si>
  <si>
    <t>Market price</t>
    <phoneticPr fontId="2"/>
  </si>
  <si>
    <t>Market value of PF</t>
    <phoneticPr fontId="2"/>
  </si>
  <si>
    <t>Commented</t>
    <phoneticPr fontId="2"/>
  </si>
  <si>
    <t>5万円まで</t>
  </si>
  <si>
    <t>10万円まで</t>
  </si>
  <si>
    <t>20万円まで</t>
  </si>
  <si>
    <t>50万円まで</t>
  </si>
  <si>
    <t>100万円まで</t>
  </si>
  <si>
    <t>150万円まで</t>
  </si>
  <si>
    <t>3,000万円まで</t>
  </si>
  <si>
    <t>3,000万円超</t>
  </si>
  <si>
    <t>現物取引手数料 | 現物取引 | 国内株式 | 楽天証券 (rakuten-sec.co.jp)</t>
  </si>
  <si>
    <t>commission (円)</t>
  </si>
  <si>
    <t>信用取引（国内株）買方金利（日歩）</t>
  </si>
  <si>
    <t>信用取引 手数料／金利／貸株料 | 信用取引 | 国内株式 | 楽天証券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</si>
</sst>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scheme val="minor"/>
    </font>
    <font>
      <sz val="6"/>
      <name val="Calibri"/>
      <family val="3"/>
      <charset val="128"/>
      <scheme val="minor"/>
    </font>
    <font>
      <sz val="11"/>
      <color theme="1"/>
      <name val="Arial"/>
      <family val="2"/>
    </font>
    <font>
      <sz val="11"/>
      <color theme="1"/>
      <name val="ＭＳ Ｐゴシック"/>
      <family val="3"/>
      <charset val="128"/>
    </font>
    <font>
      <u/>
      <sz val="11"/>
      <color theme="1"/>
      <name val="Arial"/>
      <family val="2"/>
    </font>
    <font>
      <u/>
      <sz val="14"/>
      <color theme="1"/>
      <name val="Arial"/>
      <family val="2"/>
    </font>
    <font>
      <sz val="11"/>
      <color theme="0"/>
      <name val="Arial"/>
      <family val="2"/>
    </font>
    <font>
      <b/>
      <i/>
      <sz val="11"/>
      <color theme="1"/>
      <name val="Arial"/>
      <family val="2"/>
    </font>
    <font>
      <b/>
      <sz val="9"/>
      <color indexed="81"/>
      <name val="ＭＳ Ｐゴシック"/>
      <family val="3"/>
      <charset val="128"/>
    </font>
    <font>
      <sz val="9"/>
      <color indexed="81"/>
      <name val="ＭＳ Ｐゴシック"/>
      <family val="3"/>
      <charset val="128"/>
    </font>
    <font>
      <u/>
      <sz val="11"/>
      <color theme="10"/>
      <name val="Calibri"/>
      <family val="2"/>
      <scheme val="minor"/>
    </font>
    <font>
      <sz val="11"/>
      <color rgb="FF000000"/>
      <name val="Calibri"/>
      <family val="2"/>
      <scheme val="minor"/>
    </font>
    <font>
      <b/>
      <sz val="11"/>
      <color rgb="FF000000"/>
      <name val="Arial"/>
      <family val="2"/>
    </font>
  </fonts>
  <fills count="3">
    <fill>
      <patternFill patternType="none"/>
    </fill>
    <fill>
      <patternFill patternType="gray125"/>
    </fill>
    <fill>
      <patternFill patternType="solid">
        <fgColor theme="6"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s>
  <cellStyleXfs count="3">
    <xf numFmtId="0" fontId="0" fillId="0" borderId="0"/>
    <xf numFmtId="38" fontId="1" fillId="0" borderId="0" applyFont="0" applyFill="0" applyBorder="0" applyAlignment="0" applyProtection="0">
      <alignment vertical="center"/>
    </xf>
    <xf numFmtId="0" fontId="11" fillId="0" borderId="0" applyNumberFormat="0" applyFill="0" applyBorder="0" applyAlignment="0" applyProtection="0"/>
  </cellStyleXfs>
  <cellXfs count="33">
    <xf numFmtId="0" fontId="0" fillId="0" borderId="0" xfId="0"/>
    <xf numFmtId="0" fontId="3" fillId="0" borderId="0" xfId="0" applyFont="1"/>
    <xf numFmtId="0" fontId="3" fillId="0" borderId="0" xfId="0" applyFont="1" applyAlignment="1">
      <alignment horizontal="center"/>
    </xf>
    <xf numFmtId="38" fontId="3" fillId="0" borderId="0" xfId="1" applyFont="1" applyAlignment="1"/>
    <xf numFmtId="0" fontId="3" fillId="0" borderId="1" xfId="0" applyFont="1" applyBorder="1" applyAlignment="1">
      <alignment horizontal="center"/>
    </xf>
    <xf numFmtId="38" fontId="3" fillId="0" borderId="1" xfId="1" applyFont="1" applyBorder="1" applyAlignment="1"/>
    <xf numFmtId="0" fontId="3" fillId="0" borderId="1" xfId="0" applyFont="1" applyBorder="1"/>
    <xf numFmtId="38" fontId="3" fillId="0" borderId="1" xfId="1" applyFont="1" applyBorder="1" applyAlignment="1">
      <alignment horizontal="center"/>
    </xf>
    <xf numFmtId="0" fontId="5" fillId="0" borderId="2" xfId="0" applyFont="1" applyBorder="1" applyAlignment="1">
      <alignment horizontal="center"/>
    </xf>
    <xf numFmtId="0" fontId="3" fillId="0" borderId="2" xfId="0" applyFont="1" applyBorder="1" applyAlignment="1">
      <alignment horizontal="right"/>
    </xf>
    <xf numFmtId="38" fontId="7" fillId="0" borderId="0" xfId="1" applyFont="1" applyAlignment="1"/>
    <xf numFmtId="38" fontId="7" fillId="0" borderId="0" xfId="1" applyFont="1" applyAlignment="1">
      <alignment horizontal="center"/>
    </xf>
    <xf numFmtId="16" fontId="3" fillId="2" borderId="1" xfId="0" applyNumberFormat="1" applyFont="1" applyFill="1" applyBorder="1" applyAlignment="1">
      <alignment horizontal="center"/>
    </xf>
    <xf numFmtId="0" fontId="3" fillId="2" borderId="1" xfId="0" applyFont="1" applyFill="1" applyBorder="1" applyAlignment="1">
      <alignment horizontal="center"/>
    </xf>
    <xf numFmtId="38" fontId="3" fillId="2" borderId="1" xfId="1" applyFont="1" applyFill="1" applyBorder="1" applyAlignment="1">
      <alignment horizontal="center"/>
    </xf>
    <xf numFmtId="0" fontId="8" fillId="0" borderId="1" xfId="0" applyFont="1" applyBorder="1" applyAlignment="1">
      <alignment horizontal="center"/>
    </xf>
    <xf numFmtId="38" fontId="8" fillId="0" borderId="1" xfId="1" applyFont="1" applyBorder="1" applyAlignment="1">
      <alignment horizontal="center"/>
    </xf>
    <xf numFmtId="0" fontId="3" fillId="0" borderId="2" xfId="0" applyFont="1" applyBorder="1" applyAlignment="1">
      <alignment horizontal="left"/>
    </xf>
    <xf numFmtId="0" fontId="6" fillId="0" borderId="0" xfId="0" applyFont="1" applyBorder="1" applyAlignment="1">
      <alignment horizontal="center"/>
    </xf>
    <xf numFmtId="38" fontId="5" fillId="0" borderId="2" xfId="1" applyFont="1" applyBorder="1" applyAlignment="1">
      <alignment horizontal="center"/>
    </xf>
    <xf numFmtId="38" fontId="3" fillId="0" borderId="1" xfId="1" applyFont="1" applyBorder="1" applyAlignment="1">
      <alignment horizontal="right"/>
    </xf>
    <xf numFmtId="0" fontId="6" fillId="0" borderId="0" xfId="0" applyFont="1" applyBorder="1" applyAlignment="1">
      <alignment horizontal="left"/>
    </xf>
    <xf numFmtId="38" fontId="3" fillId="0" borderId="0" xfId="0" applyNumberFormat="1" applyFont="1"/>
    <xf numFmtId="38" fontId="3" fillId="0" borderId="1" xfId="0" applyNumberFormat="1" applyFont="1" applyBorder="1" applyAlignment="1">
      <alignment horizontal="right"/>
    </xf>
    <xf numFmtId="0" fontId="3" fillId="2" borderId="1" xfId="0" applyFont="1" applyFill="1" applyBorder="1" applyAlignment="1">
      <alignment horizontal="center" wrapText="1"/>
    </xf>
    <xf numFmtId="0" fontId="12" fillId="0" borderId="1" xfId="0" applyFont="1" applyBorder="1"/>
    <xf numFmtId="0" fontId="11" fillId="0" borderId="0" xfId="2"/>
    <xf numFmtId="3" fontId="12" fillId="0" borderId="1" xfId="0" applyNumberFormat="1" applyFont="1" applyBorder="1"/>
    <xf numFmtId="3" fontId="3" fillId="2" borderId="1" xfId="1" applyNumberFormat="1" applyFont="1" applyFill="1" applyBorder="1" applyAlignment="1">
      <alignment horizontal="center"/>
    </xf>
    <xf numFmtId="38" fontId="3" fillId="0" borderId="3" xfId="1" applyFont="1" applyBorder="1" applyAlignment="1">
      <alignment horizontal="center"/>
    </xf>
    <xf numFmtId="38" fontId="3" fillId="0" borderId="4" xfId="1" applyFont="1" applyBorder="1" applyAlignment="1">
      <alignment horizontal="center"/>
    </xf>
    <xf numFmtId="0" fontId="13" fillId="0" borderId="5" xfId="0" applyFont="1" applyBorder="1" applyAlignment="1">
      <alignment horizontal="left" vertical="center" wrapText="1" indent="1"/>
    </xf>
    <xf numFmtId="10" fontId="3" fillId="0" borderId="0" xfId="0" applyNumberFormat="1" applyFont="1"/>
  </cellXfs>
  <cellStyles count="3">
    <cellStyle name="Comma [0]" xfId="1" builtinId="6"/>
    <cellStyle name="Hyperlink" xfId="2" builtinId="8"/>
    <cellStyle name="Normal" xfId="0" builtinId="0"/>
  </cellStyles>
  <dxfs count="0"/>
  <tableStyles count="0" defaultTableStyle="TableStyleMedium2" defaultPivotStyle="PivotStyleMedium9"/>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rakuten-sec.co.jp/web/domestic/margin/commission.html" TargetMode="External"/><Relationship Id="rId1" Type="http://schemas.openxmlformats.org/officeDocument/2006/relationships/hyperlink" Target="https://www.rakuten-sec.co.jp/web/domestic/stock/commission.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
  <sheetViews>
    <sheetView showGridLines="0" tabSelected="1" topLeftCell="L13" workbookViewId="0">
      <selection activeCell="T25" sqref="T25"/>
    </sheetView>
  </sheetViews>
  <sheetFormatPr defaultColWidth="9" defaultRowHeight="14"/>
  <cols>
    <col min="1" max="1" width="9" style="2"/>
    <col min="2" max="2" width="11.453125" style="1" bestFit="1" customWidth="1"/>
    <col min="3" max="3" width="38.08984375" style="1" bestFit="1" customWidth="1"/>
    <col min="4" max="4" width="12.36328125" style="1" bestFit="1" customWidth="1"/>
    <col min="5" max="5" width="10.36328125" style="1" bestFit="1" customWidth="1"/>
    <col min="6" max="6" width="11" style="3" bestFit="1" customWidth="1"/>
    <col min="7" max="7" width="12.08984375" style="3" bestFit="1" customWidth="1"/>
    <col min="8" max="8" width="12.54296875" style="3" bestFit="1" customWidth="1"/>
    <col min="9" max="9" width="22.6328125" style="3" bestFit="1" customWidth="1"/>
    <col min="10" max="11" width="15.90625" style="3" customWidth="1"/>
    <col min="12" max="12" width="10.36328125" style="3" bestFit="1" customWidth="1"/>
    <col min="13" max="13" width="11" style="3" bestFit="1" customWidth="1"/>
    <col min="14" max="14" width="11.36328125" style="3" bestFit="1" customWidth="1"/>
    <col min="15" max="15" width="21" style="3" bestFit="1" customWidth="1"/>
    <col min="16" max="16" width="13.36328125" style="3" bestFit="1" customWidth="1"/>
    <col min="17" max="17" width="9" style="2"/>
    <col min="18" max="18" width="23.6328125" style="1" bestFit="1" customWidth="1"/>
    <col min="19" max="19" width="15.08984375" style="10" customWidth="1"/>
    <col min="20" max="20" width="28.36328125" style="3" customWidth="1"/>
    <col min="21" max="21" width="21.6328125" style="1" customWidth="1"/>
    <col min="22" max="16384" width="9" style="1"/>
  </cols>
  <sheetData>
    <row r="1" spans="1:21" ht="17.5">
      <c r="A1" s="21" t="s">
        <v>13</v>
      </c>
      <c r="B1" s="18"/>
      <c r="C1" s="18"/>
      <c r="D1" s="18"/>
      <c r="E1" s="18"/>
      <c r="F1" s="18"/>
      <c r="G1" s="18"/>
      <c r="H1" s="18"/>
      <c r="I1" s="18"/>
      <c r="J1" s="18"/>
      <c r="K1" s="18"/>
      <c r="L1" s="18"/>
      <c r="M1" s="18"/>
      <c r="N1" s="18"/>
      <c r="O1" s="18"/>
      <c r="P1" s="18"/>
      <c r="R1" s="18"/>
    </row>
    <row r="2" spans="1:21">
      <c r="A2" s="17" t="s">
        <v>21</v>
      </c>
      <c r="B2" s="8"/>
      <c r="C2" s="8"/>
      <c r="D2" s="8"/>
      <c r="E2" s="8"/>
      <c r="F2" s="19"/>
      <c r="G2" s="8"/>
      <c r="H2" s="8"/>
      <c r="I2" s="8"/>
      <c r="J2" s="8"/>
      <c r="K2" s="8"/>
      <c r="L2" s="8"/>
      <c r="M2" s="8"/>
      <c r="N2" s="8"/>
      <c r="O2" s="8"/>
      <c r="P2" s="8"/>
      <c r="R2" s="9" t="s">
        <v>14</v>
      </c>
    </row>
    <row r="3" spans="1:21" s="2" customFormat="1">
      <c r="A3" s="15" t="s">
        <v>15</v>
      </c>
      <c r="B3" s="15" t="s">
        <v>1</v>
      </c>
      <c r="C3" s="15" t="s">
        <v>0</v>
      </c>
      <c r="D3" s="15" t="s">
        <v>4</v>
      </c>
      <c r="E3" s="15" t="s">
        <v>2</v>
      </c>
      <c r="F3" s="16" t="s">
        <v>11</v>
      </c>
      <c r="G3" s="16" t="s">
        <v>3</v>
      </c>
      <c r="H3" s="16" t="s">
        <v>16</v>
      </c>
      <c r="I3" s="16" t="s">
        <v>18</v>
      </c>
      <c r="J3" s="16" t="s">
        <v>30</v>
      </c>
      <c r="K3" s="16" t="s">
        <v>29</v>
      </c>
      <c r="L3" s="16" t="s">
        <v>20</v>
      </c>
      <c r="M3" s="16" t="s">
        <v>5</v>
      </c>
      <c r="N3" s="16" t="s">
        <v>17</v>
      </c>
      <c r="O3" s="16" t="s">
        <v>19</v>
      </c>
      <c r="P3" s="16" t="s">
        <v>6</v>
      </c>
      <c r="Q3" s="15" t="s">
        <v>26</v>
      </c>
      <c r="R3" s="15" t="s">
        <v>7</v>
      </c>
      <c r="T3" s="4" t="s">
        <v>25</v>
      </c>
      <c r="U3" s="20">
        <v>100000000</v>
      </c>
    </row>
    <row r="4" spans="1:21">
      <c r="A4" s="4">
        <v>1</v>
      </c>
      <c r="B4" s="12">
        <v>42865</v>
      </c>
      <c r="C4" s="13" t="s">
        <v>23</v>
      </c>
      <c r="D4" s="13">
        <v>4508</v>
      </c>
      <c r="E4" s="13" t="s">
        <v>22</v>
      </c>
      <c r="F4" s="14">
        <v>1500</v>
      </c>
      <c r="G4" s="14">
        <v>2506</v>
      </c>
      <c r="H4" s="7">
        <f t="shared" ref="H4:H21" si="0">F4*G4</f>
        <v>3759000</v>
      </c>
      <c r="I4" s="7">
        <f t="shared" ref="I4:I21" si="1">IF(H4=0,"",(VLOOKUP(H4,$S$14:$U$19,3,1)))</f>
        <v>640</v>
      </c>
      <c r="J4" s="14"/>
      <c r="K4" s="14">
        <f>J4*F4</f>
        <v>0</v>
      </c>
      <c r="L4" s="12">
        <v>42867</v>
      </c>
      <c r="M4" s="14">
        <v>2540</v>
      </c>
      <c r="N4" s="7">
        <f t="shared" ref="N4:N21" si="2">F4*M4</f>
        <v>3810000</v>
      </c>
      <c r="O4" s="7">
        <f t="shared" ref="O4:O21" si="3">IF(N4=0,"",(VLOOKUP(N4,$S$14:$U$19,3,1)))</f>
        <v>640</v>
      </c>
      <c r="P4" s="28">
        <f>N4-H4-I4-O4</f>
        <v>49720</v>
      </c>
      <c r="Q4" s="13" t="s">
        <v>27</v>
      </c>
      <c r="R4" s="13"/>
      <c r="T4" s="7" t="s">
        <v>24</v>
      </c>
      <c r="U4" s="20">
        <f>U3-SUMIF(Q4:Q21,"",H$4:H$21)+SUMIF(Q4:Q21,"Closed",P4:P21)-I22-O22</f>
        <v>100106680</v>
      </c>
    </row>
    <row r="5" spans="1:21">
      <c r="A5" s="4">
        <v>2</v>
      </c>
      <c r="B5" s="12">
        <v>42866</v>
      </c>
      <c r="C5" s="13" t="s">
        <v>10</v>
      </c>
      <c r="D5" s="13">
        <v>7203</v>
      </c>
      <c r="E5" s="13" t="s">
        <v>28</v>
      </c>
      <c r="F5" s="14">
        <v>800</v>
      </c>
      <c r="G5" s="14">
        <v>6123</v>
      </c>
      <c r="H5" s="7">
        <f t="shared" si="0"/>
        <v>4898400</v>
      </c>
      <c r="I5" s="7">
        <f t="shared" si="1"/>
        <v>640</v>
      </c>
      <c r="J5" s="14"/>
      <c r="K5" s="14">
        <f t="shared" ref="K5:K21" si="4">J5*F5</f>
        <v>0</v>
      </c>
      <c r="L5" s="12">
        <v>42867</v>
      </c>
      <c r="M5" s="14">
        <v>6047</v>
      </c>
      <c r="N5" s="7">
        <f t="shared" si="2"/>
        <v>4837600</v>
      </c>
      <c r="O5" s="7">
        <f t="shared" si="3"/>
        <v>640</v>
      </c>
      <c r="P5" s="14">
        <f>H5-N5-I5-O5</f>
        <v>59520</v>
      </c>
      <c r="Q5" s="13" t="s">
        <v>27</v>
      </c>
      <c r="R5" s="24" t="s">
        <v>32</v>
      </c>
      <c r="T5" s="7" t="s">
        <v>31</v>
      </c>
      <c r="U5" s="23">
        <f>U4+K22</f>
        <v>100106680</v>
      </c>
    </row>
    <row r="6" spans="1:21">
      <c r="A6" s="4">
        <v>3</v>
      </c>
      <c r="B6" s="13"/>
      <c r="C6" s="13"/>
      <c r="D6" s="13"/>
      <c r="E6" s="13"/>
      <c r="F6" s="14"/>
      <c r="G6" s="14"/>
      <c r="H6" s="7">
        <f t="shared" si="0"/>
        <v>0</v>
      </c>
      <c r="I6" s="7" t="str">
        <f t="shared" si="1"/>
        <v/>
      </c>
      <c r="J6" s="14"/>
      <c r="K6" s="14">
        <f t="shared" si="4"/>
        <v>0</v>
      </c>
      <c r="L6" s="14"/>
      <c r="M6" s="14"/>
      <c r="N6" s="7">
        <f t="shared" si="2"/>
        <v>0</v>
      </c>
      <c r="O6" s="7" t="str">
        <f t="shared" si="3"/>
        <v/>
      </c>
      <c r="P6" s="14"/>
      <c r="Q6" s="13"/>
      <c r="R6" s="13"/>
      <c r="U6" s="3"/>
    </row>
    <row r="7" spans="1:21">
      <c r="A7" s="4">
        <v>4</v>
      </c>
      <c r="B7" s="13"/>
      <c r="C7" s="13"/>
      <c r="D7" s="13"/>
      <c r="E7" s="13"/>
      <c r="F7" s="14"/>
      <c r="G7" s="14"/>
      <c r="H7" s="7">
        <f t="shared" si="0"/>
        <v>0</v>
      </c>
      <c r="I7" s="7" t="str">
        <f t="shared" si="1"/>
        <v/>
      </c>
      <c r="J7" s="14"/>
      <c r="K7" s="14">
        <f t="shared" si="4"/>
        <v>0</v>
      </c>
      <c r="L7" s="14"/>
      <c r="M7" s="14"/>
      <c r="N7" s="7">
        <f t="shared" si="2"/>
        <v>0</v>
      </c>
      <c r="O7" s="7" t="str">
        <f t="shared" si="3"/>
        <v/>
      </c>
      <c r="P7" s="14"/>
      <c r="Q7" s="13"/>
      <c r="R7" s="13"/>
      <c r="U7" s="22"/>
    </row>
    <row r="8" spans="1:21">
      <c r="A8" s="4">
        <v>5</v>
      </c>
      <c r="B8" s="13"/>
      <c r="C8" s="13"/>
      <c r="D8" s="13"/>
      <c r="E8" s="13"/>
      <c r="F8" s="14"/>
      <c r="G8" s="14"/>
      <c r="H8" s="7">
        <f t="shared" si="0"/>
        <v>0</v>
      </c>
      <c r="I8" s="7" t="str">
        <f t="shared" si="1"/>
        <v/>
      </c>
      <c r="J8" s="14"/>
      <c r="K8" s="14">
        <f t="shared" si="4"/>
        <v>0</v>
      </c>
      <c r="L8" s="14"/>
      <c r="M8" s="14"/>
      <c r="N8" s="7">
        <f t="shared" si="2"/>
        <v>0</v>
      </c>
      <c r="O8" s="7" t="str">
        <f t="shared" si="3"/>
        <v/>
      </c>
      <c r="P8" s="14"/>
      <c r="Q8" s="13"/>
      <c r="R8" s="13"/>
      <c r="U8" s="3"/>
    </row>
    <row r="9" spans="1:21">
      <c r="A9" s="4">
        <v>6</v>
      </c>
      <c r="B9" s="13"/>
      <c r="C9" s="13"/>
      <c r="D9" s="13"/>
      <c r="E9" s="13"/>
      <c r="F9" s="14"/>
      <c r="G9" s="14"/>
      <c r="H9" s="7">
        <f t="shared" si="0"/>
        <v>0</v>
      </c>
      <c r="I9" s="7" t="str">
        <f t="shared" si="1"/>
        <v/>
      </c>
      <c r="J9" s="14"/>
      <c r="K9" s="14">
        <f t="shared" si="4"/>
        <v>0</v>
      </c>
      <c r="L9" s="14"/>
      <c r="M9" s="14"/>
      <c r="N9" s="7">
        <f t="shared" si="2"/>
        <v>0</v>
      </c>
      <c r="O9" s="7" t="str">
        <f t="shared" si="3"/>
        <v/>
      </c>
      <c r="P9" s="14"/>
      <c r="Q9" s="13"/>
      <c r="R9" s="13"/>
      <c r="U9" s="22"/>
    </row>
    <row r="10" spans="1:21">
      <c r="A10" s="4">
        <v>7</v>
      </c>
      <c r="B10" s="13"/>
      <c r="C10" s="13"/>
      <c r="D10" s="13"/>
      <c r="E10" s="13"/>
      <c r="F10" s="14"/>
      <c r="G10" s="14"/>
      <c r="H10" s="7">
        <f t="shared" si="0"/>
        <v>0</v>
      </c>
      <c r="I10" s="7" t="str">
        <f t="shared" si="1"/>
        <v/>
      </c>
      <c r="J10" s="14"/>
      <c r="K10" s="14">
        <f t="shared" si="4"/>
        <v>0</v>
      </c>
      <c r="L10" s="14"/>
      <c r="M10" s="14"/>
      <c r="N10" s="7">
        <f t="shared" si="2"/>
        <v>0</v>
      </c>
      <c r="O10" s="7" t="str">
        <f t="shared" si="3"/>
        <v/>
      </c>
      <c r="P10" s="14"/>
      <c r="Q10" s="13"/>
      <c r="R10" s="13"/>
    </row>
    <row r="11" spans="1:21">
      <c r="A11" s="4">
        <v>8</v>
      </c>
      <c r="B11" s="13"/>
      <c r="C11" s="13"/>
      <c r="D11" s="13"/>
      <c r="E11" s="13"/>
      <c r="F11" s="14"/>
      <c r="G11" s="14"/>
      <c r="H11" s="7">
        <f t="shared" si="0"/>
        <v>0</v>
      </c>
      <c r="I11" s="7" t="str">
        <f t="shared" si="1"/>
        <v/>
      </c>
      <c r="J11" s="14"/>
      <c r="K11" s="14">
        <f t="shared" si="4"/>
        <v>0</v>
      </c>
      <c r="L11" s="14"/>
      <c r="M11" s="14"/>
      <c r="N11" s="7">
        <f t="shared" si="2"/>
        <v>0</v>
      </c>
      <c r="O11" s="7" t="str">
        <f t="shared" si="3"/>
        <v/>
      </c>
      <c r="P11" s="14"/>
      <c r="Q11" s="13"/>
      <c r="R11" s="13"/>
    </row>
    <row r="12" spans="1:21">
      <c r="A12" s="4">
        <v>9</v>
      </c>
      <c r="B12" s="13"/>
      <c r="C12" s="13"/>
      <c r="D12" s="13"/>
      <c r="E12" s="13"/>
      <c r="F12" s="14"/>
      <c r="G12" s="14"/>
      <c r="H12" s="7">
        <f t="shared" si="0"/>
        <v>0</v>
      </c>
      <c r="I12" s="7" t="str">
        <f t="shared" si="1"/>
        <v/>
      </c>
      <c r="J12" s="14"/>
      <c r="K12" s="14">
        <f t="shared" si="4"/>
        <v>0</v>
      </c>
      <c r="L12" s="14"/>
      <c r="M12" s="14"/>
      <c r="N12" s="7">
        <f t="shared" si="2"/>
        <v>0</v>
      </c>
      <c r="O12" s="7" t="str">
        <f t="shared" si="3"/>
        <v/>
      </c>
      <c r="P12" s="14"/>
      <c r="Q12" s="13"/>
      <c r="R12" s="13"/>
      <c r="S12" s="11"/>
      <c r="T12" s="29" t="s">
        <v>8</v>
      </c>
      <c r="U12" s="30"/>
    </row>
    <row r="13" spans="1:21">
      <c r="A13" s="4">
        <v>10</v>
      </c>
      <c r="B13" s="13"/>
      <c r="C13" s="13"/>
      <c r="D13" s="13"/>
      <c r="E13" s="13"/>
      <c r="F13" s="14"/>
      <c r="G13" s="14"/>
      <c r="H13" s="7">
        <f t="shared" si="0"/>
        <v>0</v>
      </c>
      <c r="I13" s="7" t="str">
        <f t="shared" si="1"/>
        <v/>
      </c>
      <c r="J13" s="14"/>
      <c r="K13" s="14">
        <f t="shared" si="4"/>
        <v>0</v>
      </c>
      <c r="L13" s="14"/>
      <c r="M13" s="14"/>
      <c r="N13" s="7">
        <f t="shared" si="2"/>
        <v>0</v>
      </c>
      <c r="O13" s="7" t="str">
        <f t="shared" si="3"/>
        <v/>
      </c>
      <c r="P13" s="14"/>
      <c r="Q13" s="13"/>
      <c r="R13" s="13"/>
      <c r="T13" s="7" t="s">
        <v>9</v>
      </c>
      <c r="U13" s="4" t="s">
        <v>42</v>
      </c>
    </row>
    <row r="14" spans="1:21" ht="14.5">
      <c r="A14" s="4">
        <v>11</v>
      </c>
      <c r="B14" s="13"/>
      <c r="C14" s="13"/>
      <c r="D14" s="13"/>
      <c r="E14" s="13"/>
      <c r="F14" s="14"/>
      <c r="G14" s="14"/>
      <c r="H14" s="7">
        <f t="shared" si="0"/>
        <v>0</v>
      </c>
      <c r="I14" s="7" t="str">
        <f t="shared" si="1"/>
        <v/>
      </c>
      <c r="J14" s="14"/>
      <c r="K14" s="14">
        <f t="shared" si="4"/>
        <v>0</v>
      </c>
      <c r="L14" s="14"/>
      <c r="M14" s="14"/>
      <c r="N14" s="7">
        <f t="shared" si="2"/>
        <v>0</v>
      </c>
      <c r="O14" s="7" t="str">
        <f t="shared" si="3"/>
        <v/>
      </c>
      <c r="P14" s="14"/>
      <c r="Q14" s="13"/>
      <c r="R14" s="13"/>
      <c r="S14" s="10">
        <v>0</v>
      </c>
      <c r="T14" s="25" t="s">
        <v>33</v>
      </c>
      <c r="U14" s="25">
        <v>55</v>
      </c>
    </row>
    <row r="15" spans="1:21" ht="14.5">
      <c r="A15" s="4">
        <v>12</v>
      </c>
      <c r="B15" s="13"/>
      <c r="C15" s="13"/>
      <c r="D15" s="13"/>
      <c r="E15" s="13"/>
      <c r="F15" s="14"/>
      <c r="G15" s="14"/>
      <c r="H15" s="7">
        <f t="shared" si="0"/>
        <v>0</v>
      </c>
      <c r="I15" s="7" t="str">
        <f t="shared" si="1"/>
        <v/>
      </c>
      <c r="J15" s="14"/>
      <c r="K15" s="14">
        <f t="shared" si="4"/>
        <v>0</v>
      </c>
      <c r="L15" s="14"/>
      <c r="M15" s="14"/>
      <c r="N15" s="7">
        <f t="shared" si="2"/>
        <v>0</v>
      </c>
      <c r="O15" s="7" t="str">
        <f t="shared" si="3"/>
        <v/>
      </c>
      <c r="P15" s="14"/>
      <c r="Q15" s="13"/>
      <c r="R15" s="13"/>
      <c r="S15" s="10">
        <v>100001</v>
      </c>
      <c r="T15" s="25" t="s">
        <v>34</v>
      </c>
      <c r="U15" s="25">
        <v>99</v>
      </c>
    </row>
    <row r="16" spans="1:21" ht="14.5">
      <c r="A16" s="4">
        <v>13</v>
      </c>
      <c r="B16" s="13"/>
      <c r="C16" s="13"/>
      <c r="D16" s="13"/>
      <c r="E16" s="13"/>
      <c r="F16" s="14"/>
      <c r="G16" s="14"/>
      <c r="H16" s="7">
        <f t="shared" si="0"/>
        <v>0</v>
      </c>
      <c r="I16" s="7" t="str">
        <f t="shared" si="1"/>
        <v/>
      </c>
      <c r="J16" s="14"/>
      <c r="K16" s="14">
        <f t="shared" si="4"/>
        <v>0</v>
      </c>
      <c r="L16" s="14"/>
      <c r="M16" s="14"/>
      <c r="N16" s="7">
        <f t="shared" si="2"/>
        <v>0</v>
      </c>
      <c r="O16" s="7" t="str">
        <f t="shared" si="3"/>
        <v/>
      </c>
      <c r="P16" s="14"/>
      <c r="Q16" s="13"/>
      <c r="R16" s="13"/>
      <c r="S16" s="10">
        <v>200001</v>
      </c>
      <c r="T16" s="25" t="s">
        <v>35</v>
      </c>
      <c r="U16" s="25">
        <v>115</v>
      </c>
    </row>
    <row r="17" spans="1:21" ht="14.5">
      <c r="A17" s="4">
        <v>14</v>
      </c>
      <c r="B17" s="13"/>
      <c r="C17" s="13"/>
      <c r="D17" s="13"/>
      <c r="E17" s="13"/>
      <c r="F17" s="14"/>
      <c r="G17" s="14"/>
      <c r="H17" s="7">
        <f t="shared" si="0"/>
        <v>0</v>
      </c>
      <c r="I17" s="7" t="str">
        <f t="shared" si="1"/>
        <v/>
      </c>
      <c r="J17" s="14"/>
      <c r="K17" s="14">
        <f t="shared" si="4"/>
        <v>0</v>
      </c>
      <c r="L17" s="14"/>
      <c r="M17" s="14"/>
      <c r="N17" s="7">
        <f t="shared" si="2"/>
        <v>0</v>
      </c>
      <c r="O17" s="7" t="str">
        <f t="shared" si="3"/>
        <v/>
      </c>
      <c r="P17" s="14"/>
      <c r="Q17" s="13"/>
      <c r="R17" s="13"/>
      <c r="S17" s="10">
        <v>500001</v>
      </c>
      <c r="T17" s="25" t="s">
        <v>36</v>
      </c>
      <c r="U17" s="25">
        <v>275</v>
      </c>
    </row>
    <row r="18" spans="1:21" ht="14.5">
      <c r="A18" s="4">
        <v>15</v>
      </c>
      <c r="B18" s="13"/>
      <c r="C18" s="13"/>
      <c r="D18" s="13"/>
      <c r="E18" s="13"/>
      <c r="F18" s="14"/>
      <c r="G18" s="14"/>
      <c r="H18" s="7">
        <f t="shared" si="0"/>
        <v>0</v>
      </c>
      <c r="I18" s="7" t="str">
        <f t="shared" si="1"/>
        <v/>
      </c>
      <c r="J18" s="14"/>
      <c r="K18" s="14">
        <f t="shared" si="4"/>
        <v>0</v>
      </c>
      <c r="L18" s="14"/>
      <c r="M18" s="14"/>
      <c r="N18" s="7">
        <f t="shared" si="2"/>
        <v>0</v>
      </c>
      <c r="O18" s="7" t="str">
        <f t="shared" si="3"/>
        <v/>
      </c>
      <c r="P18" s="14"/>
      <c r="Q18" s="13"/>
      <c r="R18" s="13"/>
      <c r="S18" s="10">
        <v>1000001</v>
      </c>
      <c r="T18" s="25" t="s">
        <v>37</v>
      </c>
      <c r="U18" s="25">
        <v>535</v>
      </c>
    </row>
    <row r="19" spans="1:21" ht="14.5">
      <c r="A19" s="4">
        <v>16</v>
      </c>
      <c r="B19" s="13"/>
      <c r="C19" s="13"/>
      <c r="D19" s="13"/>
      <c r="E19" s="13"/>
      <c r="F19" s="14"/>
      <c r="G19" s="14"/>
      <c r="H19" s="7">
        <f t="shared" si="0"/>
        <v>0</v>
      </c>
      <c r="I19" s="7" t="str">
        <f t="shared" si="1"/>
        <v/>
      </c>
      <c r="J19" s="14"/>
      <c r="K19" s="14">
        <f t="shared" si="4"/>
        <v>0</v>
      </c>
      <c r="L19" s="14"/>
      <c r="M19" s="14"/>
      <c r="N19" s="7">
        <f t="shared" si="2"/>
        <v>0</v>
      </c>
      <c r="O19" s="7" t="str">
        <f t="shared" si="3"/>
        <v/>
      </c>
      <c r="P19" s="14"/>
      <c r="Q19" s="13"/>
      <c r="R19" s="13"/>
      <c r="S19" s="10">
        <v>1500001</v>
      </c>
      <c r="T19" s="25" t="s">
        <v>38</v>
      </c>
      <c r="U19" s="25">
        <v>640</v>
      </c>
    </row>
    <row r="20" spans="1:21" ht="14.5">
      <c r="A20" s="4">
        <v>17</v>
      </c>
      <c r="B20" s="13"/>
      <c r="C20" s="13"/>
      <c r="D20" s="13"/>
      <c r="E20" s="13"/>
      <c r="F20" s="14"/>
      <c r="G20" s="14"/>
      <c r="H20" s="7">
        <f t="shared" si="0"/>
        <v>0</v>
      </c>
      <c r="I20" s="7" t="str">
        <f t="shared" si="1"/>
        <v/>
      </c>
      <c r="J20" s="14"/>
      <c r="K20" s="14">
        <f t="shared" si="4"/>
        <v>0</v>
      </c>
      <c r="L20" s="14"/>
      <c r="M20" s="14"/>
      <c r="N20" s="7">
        <f t="shared" si="2"/>
        <v>0</v>
      </c>
      <c r="O20" s="7" t="str">
        <f t="shared" si="3"/>
        <v/>
      </c>
      <c r="P20" s="14"/>
      <c r="Q20" s="13"/>
      <c r="R20" s="13"/>
      <c r="T20" s="25" t="s">
        <v>39</v>
      </c>
      <c r="U20" s="27">
        <v>1013</v>
      </c>
    </row>
    <row r="21" spans="1:21" ht="14.5">
      <c r="A21" s="4">
        <v>18</v>
      </c>
      <c r="B21" s="13"/>
      <c r="C21" s="13"/>
      <c r="D21" s="13"/>
      <c r="E21" s="13"/>
      <c r="F21" s="14"/>
      <c r="G21" s="14"/>
      <c r="H21" s="7">
        <f t="shared" si="0"/>
        <v>0</v>
      </c>
      <c r="I21" s="7" t="str">
        <f t="shared" si="1"/>
        <v/>
      </c>
      <c r="J21" s="14"/>
      <c r="K21" s="14">
        <f t="shared" si="4"/>
        <v>0</v>
      </c>
      <c r="L21" s="14"/>
      <c r="M21" s="14"/>
      <c r="N21" s="7">
        <f t="shared" si="2"/>
        <v>0</v>
      </c>
      <c r="O21" s="7" t="str">
        <f t="shared" si="3"/>
        <v/>
      </c>
      <c r="P21" s="14"/>
      <c r="Q21" s="13"/>
      <c r="R21" s="13"/>
      <c r="T21" s="25" t="s">
        <v>40</v>
      </c>
      <c r="U21" s="27">
        <v>1070</v>
      </c>
    </row>
    <row r="22" spans="1:21" ht="14.5">
      <c r="A22" s="4" t="s">
        <v>12</v>
      </c>
      <c r="B22" s="6"/>
      <c r="C22" s="6"/>
      <c r="D22" s="6"/>
      <c r="E22" s="6"/>
      <c r="F22" s="5"/>
      <c r="G22" s="5"/>
      <c r="H22" s="5">
        <f>SUM(H4:H21)</f>
        <v>8657400</v>
      </c>
      <c r="I22" s="5">
        <f>SUM(I4:I21)</f>
        <v>1280</v>
      </c>
      <c r="J22" s="5"/>
      <c r="K22" s="5">
        <f>SUM(K4:K21)</f>
        <v>0</v>
      </c>
      <c r="L22" s="5"/>
      <c r="M22" s="5"/>
      <c r="N22" s="5">
        <f>SUM(N4:N21)</f>
        <v>8647600</v>
      </c>
      <c r="O22" s="5">
        <f>SUM(O4:O21)</f>
        <v>1280</v>
      </c>
      <c r="P22" s="5">
        <f>SUM(P4:P21)</f>
        <v>109240</v>
      </c>
      <c r="Q22" s="4"/>
      <c r="R22" s="6"/>
      <c r="T22" s="26" t="s">
        <v>41</v>
      </c>
    </row>
    <row r="23" spans="1:21" ht="14.5" thickBot="1"/>
    <row r="24" spans="1:21" ht="28.5" thickBot="1">
      <c r="T24" s="31" t="s">
        <v>43</v>
      </c>
      <c r="U24" s="32">
        <v>2.8000000000000001E-2</v>
      </c>
    </row>
    <row r="25" spans="1:21" ht="14.5">
      <c r="T25" s="26" t="s">
        <v>44</v>
      </c>
    </row>
  </sheetData>
  <mergeCells count="1">
    <mergeCell ref="T12:U12"/>
  </mergeCells>
  <phoneticPr fontId="2"/>
  <hyperlinks>
    <hyperlink ref="T22" r:id="rId1" display="https://www.rakuten-sec.co.jp/web/domestic/stock/commission.html" xr:uid="{7462C879-0B94-4846-B644-CFD045C35A1E}"/>
    <hyperlink ref="T25" r:id="rId2" display="https://www.rakuten-sec.co.jp/web/domestic/margin/commission.html" xr:uid="{643CB966-F3AD-4F51-ABC3-F5584DD64D55}"/>
  </hyperlinks>
  <pageMargins left="0.7" right="0.7" top="0.75" bottom="0.75" header="0.3" footer="0.3"/>
  <pageSetup paperSize="9"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2026-04-20T01:10:25Z</dcterms:modified>
</cp:coreProperties>
</file>